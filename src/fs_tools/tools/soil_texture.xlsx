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10485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<sst xmlns="http://schemas.openxmlformats.org/spreadsheetml/2006/main" count="110" uniqueCount="65">
  <si>
    <t>ID</t>
  </si>
  <si>
    <t>USDA SOIL TYPE</t>
  </si>
  <si>
    <t>TYPICAL DENSITY(kg/m3)</t>
  </si>
  <si>
    <t>muw</t>
  </si>
  <si>
    <t>SOIL COHESION(KPa)</t>
  </si>
  <si>
    <t>Angle of Internal Friction(phi 度)</t>
  </si>
  <si>
    <t>Min</t>
  </si>
  <si>
    <t>Sand</t>
  </si>
  <si>
    <t>Loamy Sand</t>
  </si>
  <si>
    <t>Silt</t>
  </si>
  <si>
    <t>Sandy Loam</t>
  </si>
  <si>
    <t>Loam</t>
  </si>
  <si>
    <t>Silt Loam</t>
  </si>
  <si>
    <t>Sandy Clay Loam</t>
  </si>
  <si>
    <t>Clay Loam</t>
  </si>
  <si>
    <t>Silt Clay Loam</t>
  </si>
  <si>
    <t>Sandy Clay</t>
  </si>
  <si>
    <t>Silt Clay</t>
  </si>
  <si>
    <t>Clay</t>
  </si>
  <si>
    <t xml:space="preserve">soil cohesion </t>
  </si>
  <si>
    <t xml:space="preserve"> Soil Type </t>
  </si>
  <si>
    <t>% Sand</t>
  </si>
  <si>
    <t>% Clay</t>
  </si>
  <si>
    <t>Bulk Density( g/cm3 )</t>
  </si>
  <si>
    <t>Field Capacity(cm3 )</t>
  </si>
  <si>
    <t>Wilting Point( cm3  )</t>
  </si>
  <si>
    <t>fraction</t>
  </si>
  <si>
    <t>Saturated Hydraulic Conductivity（cm/hr ）</t>
  </si>
  <si>
    <t>min</t>
  </si>
  <si>
    <t>max</t>
  </si>
  <si>
    <t>specific</t>
  </si>
  <si>
    <t>s</t>
  </si>
  <si>
    <t>ls</t>
  </si>
  <si>
    <t>sl</t>
  </si>
  <si>
    <t>sil</t>
  </si>
  <si>
    <t>10/60</t>
  </si>
  <si>
    <t>20/90</t>
  </si>
  <si>
    <t>si</t>
  </si>
  <si>
    <t>l</t>
  </si>
  <si>
    <t>scl</t>
  </si>
  <si>
    <t>20/105</t>
  </si>
  <si>
    <t>sicl</t>
  </si>
  <si>
    <t>cl</t>
  </si>
  <si>
    <t>10/50</t>
  </si>
  <si>
    <t>20/75</t>
  </si>
  <si>
    <t>sc</t>
  </si>
  <si>
    <t>10/90</t>
  </si>
  <si>
    <t>sic</t>
  </si>
  <si>
    <t>10/86</t>
  </si>
  <si>
    <t>25/103</t>
  </si>
  <si>
    <t>c</t>
  </si>
  <si>
    <t>USDA Class</t>
  </si>
  <si>
    <t>Soil Type</t>
  </si>
  <si>
    <t>Bulk Density</t>
  </si>
  <si>
    <t>Field Capacity</t>
  </si>
  <si>
    <t>Wilting Point</t>
  </si>
  <si>
    <t>Porosity</t>
  </si>
  <si>
    <t>Saturated Hydraulic Conductivity</t>
  </si>
  <si>
    <t>Slope of Retention Curve (log space)</t>
  </si>
  <si>
    <r>
      <t>g/cm</t>
    </r>
    <r>
      <rPr>
        <sz val="9"/>
        <color rgb="FF404040"/>
        <rFont val="Arial"/>
        <charset val="134"/>
      </rPr>
      <t>3</t>
    </r>
  </si>
  <si>
    <r>
      <t>cm</t>
    </r>
    <r>
      <rPr>
        <sz val="9"/>
        <color rgb="FF404040"/>
        <rFont val="Arial"/>
        <charset val="134"/>
      </rPr>
      <t>3</t>
    </r>
  </si>
  <si>
    <t>cm/hr</t>
  </si>
  <si>
    <t>Silty Loam</t>
  </si>
  <si>
    <t>Silty Clay Loam</t>
  </si>
  <si>
    <t>Silty Clay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</si>
</sst>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8"/>
      <color rgb="FF40404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40404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3F6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1E4E5"/>
      </left>
      <right style="medium">
        <color rgb="FFE1E4E5"/>
      </right>
      <top style="medium">
        <color rgb="FFE1E4E5"/>
      </top>
      <bottom style="medium">
        <color rgb="FFE1E4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2" fillId="2" borderId="2" xfId="0" applyFont="1" applyFill="1" applyBorder="1" applyAlignment="1">
      <alignment vertical="center"/>
    </xf>
    <xf numFmtId="0" fontId="3" fillId="0" borderId="0" xfId="0" applyFont="1" applyFill="1" applyAlignme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zoomScale="115" zoomScaleNormal="115" workbookViewId="0">
      <selection activeCell="A1" sqref="A1:F13"/>
    </sheetView>
  </sheetViews>
  <sheetFormatPr defaultColWidth="9" defaultRowHeight="13.5" outlineLevelCol="6"/>
  <cols>
    <col min="2" max="2" width="25.25" customWidth="1"/>
    <col min="3" max="3" width="30.6916666666667" customWidth="1"/>
    <col min="4" max="4" width="12.575" customWidth="1"/>
    <col min="5" max="5" width="21.1916666666667" customWidth="1"/>
    <col min="6" max="6" width="11.125" customWidth="1"/>
    <col min="7" max="7" width="11.875" customWidth="1"/>
    <col min="9" max="9" width="14.875" customWidth="1"/>
    <col min="10" max="10" width="16.375" customWidth="1"/>
    <col min="11" max="11" width="13.25" customWidth="1"/>
    <col min="12" max="12" width="14.5" customWidth="1"/>
    <col min="13" max="13" width="31.25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9" t="s">
        <v>6</v>
      </c>
    </row>
    <row r="2" spans="1:6">
      <c r="A2" s="5">
        <v>1</v>
      </c>
      <c r="B2" s="5" t="s">
        <v>7</v>
      </c>
      <c r="C2" s="5">
        <f>1430</f>
        <v>1430</v>
      </c>
      <c r="D2" s="5">
        <f>C2*9.81</f>
        <v>14028.3</v>
      </c>
      <c r="E2" s="5">
        <v>0</v>
      </c>
      <c r="F2" s="5">
        <v>37</v>
      </c>
    </row>
    <row r="3" spans="1:6">
      <c r="A3" s="5">
        <v>2</v>
      </c>
      <c r="B3" s="5" t="s">
        <v>8</v>
      </c>
      <c r="C3" s="5">
        <v>1430</v>
      </c>
      <c r="D3" s="5">
        <f t="shared" ref="D3:D13" si="0">C3*9.81</f>
        <v>14028.3</v>
      </c>
      <c r="E3" s="5"/>
      <c r="F3" s="5">
        <v>33</v>
      </c>
    </row>
    <row r="4" spans="1:6">
      <c r="A4" s="5">
        <v>3</v>
      </c>
      <c r="B4" s="5" t="s">
        <v>9</v>
      </c>
      <c r="C4" s="5">
        <v>1365</v>
      </c>
      <c r="D4" s="5">
        <f t="shared" si="0"/>
        <v>13390.65</v>
      </c>
      <c r="E4" s="5">
        <v>8</v>
      </c>
      <c r="F4" s="5">
        <v>32</v>
      </c>
    </row>
    <row r="5" spans="1:6">
      <c r="A5" s="5">
        <v>4</v>
      </c>
      <c r="B5" s="5" t="s">
        <v>10</v>
      </c>
      <c r="C5" s="5">
        <v>1460</v>
      </c>
      <c r="D5" s="5">
        <f t="shared" si="0"/>
        <v>14322.6</v>
      </c>
      <c r="E5" s="5">
        <v>10</v>
      </c>
      <c r="F5" s="5">
        <v>33</v>
      </c>
    </row>
    <row r="6" spans="1:6">
      <c r="A6" s="5">
        <v>5</v>
      </c>
      <c r="B6" s="5" t="s">
        <v>11</v>
      </c>
      <c r="C6" s="5">
        <v>1430</v>
      </c>
      <c r="D6" s="5">
        <f t="shared" si="0"/>
        <v>14028.3</v>
      </c>
      <c r="E6" s="5">
        <v>23</v>
      </c>
      <c r="F6" s="5">
        <v>20</v>
      </c>
    </row>
    <row r="7" spans="1:6">
      <c r="A7" s="5">
        <v>6</v>
      </c>
      <c r="B7" s="5" t="s">
        <v>12</v>
      </c>
      <c r="C7" s="5">
        <v>1380</v>
      </c>
      <c r="D7" s="5">
        <f t="shared" si="0"/>
        <v>13537.8</v>
      </c>
      <c r="E7" s="5">
        <v>21</v>
      </c>
      <c r="F7" s="5">
        <v>29</v>
      </c>
    </row>
    <row r="8" spans="1:6">
      <c r="A8" s="5">
        <v>7</v>
      </c>
      <c r="B8" s="5" t="s">
        <v>13</v>
      </c>
      <c r="C8" s="5">
        <v>1500</v>
      </c>
      <c r="D8" s="5">
        <f t="shared" si="0"/>
        <v>14715</v>
      </c>
      <c r="E8" s="10">
        <v>14</v>
      </c>
      <c r="F8" s="5">
        <v>34</v>
      </c>
    </row>
    <row r="9" spans="1:6">
      <c r="A9" s="5">
        <v>8</v>
      </c>
      <c r="B9" s="5" t="s">
        <v>14</v>
      </c>
      <c r="C9" s="5">
        <v>1390</v>
      </c>
      <c r="D9" s="5">
        <f t="shared" si="0"/>
        <v>13635.9</v>
      </c>
      <c r="E9" s="5">
        <v>30</v>
      </c>
      <c r="F9" s="5">
        <v>10</v>
      </c>
    </row>
    <row r="10" spans="1:6">
      <c r="A10" s="5">
        <v>9</v>
      </c>
      <c r="B10" s="5" t="s">
        <v>15</v>
      </c>
      <c r="C10" s="5">
        <v>1300</v>
      </c>
      <c r="D10" s="5">
        <f t="shared" si="0"/>
        <v>12753</v>
      </c>
      <c r="E10" s="5">
        <v>15</v>
      </c>
      <c r="F10" s="5">
        <v>25</v>
      </c>
    </row>
    <row r="11" spans="1:6">
      <c r="A11" s="5">
        <v>10</v>
      </c>
      <c r="B11" s="5" t="s">
        <v>16</v>
      </c>
      <c r="C11" s="5">
        <v>1470</v>
      </c>
      <c r="D11" s="5">
        <f t="shared" si="0"/>
        <v>14420.7</v>
      </c>
      <c r="E11" s="5">
        <v>5</v>
      </c>
      <c r="F11" s="5">
        <v>35</v>
      </c>
    </row>
    <row r="12" spans="1:6">
      <c r="A12" s="5">
        <v>11</v>
      </c>
      <c r="B12" s="5" t="s">
        <v>17</v>
      </c>
      <c r="C12" s="5">
        <v>1260</v>
      </c>
      <c r="D12" s="5">
        <f t="shared" si="0"/>
        <v>12360.6</v>
      </c>
      <c r="E12" s="5">
        <v>15</v>
      </c>
      <c r="F12" s="5">
        <v>25</v>
      </c>
    </row>
    <row r="13" spans="1:6">
      <c r="A13" s="5">
        <v>12</v>
      </c>
      <c r="B13" s="5" t="s">
        <v>18</v>
      </c>
      <c r="C13" s="5">
        <v>1330</v>
      </c>
      <c r="D13" s="5">
        <f t="shared" si="0"/>
        <v>13047.3</v>
      </c>
      <c r="E13" s="5">
        <v>13.5</v>
      </c>
      <c r="F13" s="5">
        <v>23</v>
      </c>
    </row>
    <row r="14" ht="27.75" customHeight="1"/>
    <row r="15" ht="26.25" customHeight="1"/>
    <row r="16" ht="32.25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workbookViewId="0">
      <selection activeCell="F19" sqref="F19"/>
    </sheetView>
  </sheetViews>
  <sheetFormatPr defaultColWidth="9" defaultRowHeight="13.5"/>
  <sheetData>
    <row r="1" spans="1:13">
      <c r="A1" s="5" t="s">
        <v>0</v>
      </c>
      <c r="B1" s="5" t="s">
        <v>1</v>
      </c>
      <c r="C1" s="6" t="s">
        <v>19</v>
      </c>
      <c r="D1" s="6"/>
      <c r="E1" s="6"/>
      <c r="F1" s="7" t="s">
        <v>20</v>
      </c>
      <c r="G1" s="7" t="s">
        <v>21</v>
      </c>
      <c r="H1" s="7" t="s">
        <v>22</v>
      </c>
      <c r="I1" s="7" t="s">
        <v>23</v>
      </c>
      <c r="J1" s="7" t="s">
        <v>24</v>
      </c>
      <c r="K1" s="7" t="s">
        <v>25</v>
      </c>
      <c r="L1" s="7" t="s">
        <v>26</v>
      </c>
      <c r="M1" s="7" t="s">
        <v>27</v>
      </c>
    </row>
    <row r="2" spans="1:13">
      <c r="A2" s="5"/>
      <c r="B2" s="5"/>
      <c r="C2" s="8" t="s">
        <v>28</v>
      </c>
      <c r="D2" s="8" t="s">
        <v>29</v>
      </c>
      <c r="E2" s="8" t="s">
        <v>30</v>
      </c>
      <c r="F2" s="7"/>
      <c r="G2" s="7"/>
      <c r="H2" s="7"/>
      <c r="I2" s="7"/>
      <c r="J2" s="7"/>
      <c r="K2" s="7"/>
      <c r="L2" s="7"/>
      <c r="M2" s="7"/>
    </row>
    <row r="3" spans="1:13">
      <c r="A3" s="5">
        <v>1</v>
      </c>
      <c r="B3" s="5" t="s">
        <v>7</v>
      </c>
      <c r="C3" s="5">
        <v>0</v>
      </c>
      <c r="D3" s="5">
        <v>0</v>
      </c>
      <c r="F3" s="6" t="s">
        <v>31</v>
      </c>
      <c r="G3" s="6">
        <v>94.83</v>
      </c>
      <c r="H3" s="6">
        <v>2.27</v>
      </c>
      <c r="I3" s="5">
        <v>1.49</v>
      </c>
      <c r="J3" s="5">
        <v>0.08</v>
      </c>
      <c r="K3" s="5">
        <v>0.03</v>
      </c>
      <c r="L3" s="5">
        <v>0.43</v>
      </c>
      <c r="M3" s="5">
        <v>38.41</v>
      </c>
    </row>
    <row r="4" spans="1:13">
      <c r="A4" s="5">
        <v>2</v>
      </c>
      <c r="B4" s="5" t="s">
        <v>8</v>
      </c>
      <c r="C4" s="5">
        <v>10</v>
      </c>
      <c r="D4" s="5">
        <v>20</v>
      </c>
      <c r="F4" s="6" t="s">
        <v>32</v>
      </c>
      <c r="G4" s="6">
        <v>85.23</v>
      </c>
      <c r="H4" s="5">
        <v>6.53</v>
      </c>
      <c r="I4" s="5">
        <v>1.52</v>
      </c>
      <c r="J4" s="6">
        <v>0.15</v>
      </c>
      <c r="K4" s="5">
        <v>0.06</v>
      </c>
      <c r="L4" s="5">
        <v>0.42</v>
      </c>
      <c r="M4" s="5">
        <v>10.87</v>
      </c>
    </row>
    <row r="5" spans="1:13">
      <c r="A5" s="5">
        <v>3</v>
      </c>
      <c r="B5" s="5" t="s">
        <v>9</v>
      </c>
      <c r="C5" s="5">
        <v>7</v>
      </c>
      <c r="D5" s="5">
        <v>67</v>
      </c>
      <c r="F5" s="6" t="s">
        <v>33</v>
      </c>
      <c r="G5" s="6">
        <v>69.28</v>
      </c>
      <c r="H5" s="5">
        <v>12.48</v>
      </c>
      <c r="I5" s="5">
        <v>1.57</v>
      </c>
      <c r="J5" s="6">
        <v>0.21</v>
      </c>
      <c r="K5" s="5">
        <v>0.09</v>
      </c>
      <c r="L5" s="5">
        <v>0.4</v>
      </c>
      <c r="M5" s="5">
        <v>5.24</v>
      </c>
    </row>
    <row r="6" spans="1:13">
      <c r="A6" s="5">
        <v>4</v>
      </c>
      <c r="B6" s="5" t="s">
        <v>10</v>
      </c>
      <c r="C6" s="5">
        <v>20</v>
      </c>
      <c r="D6" s="5">
        <v>50</v>
      </c>
      <c r="F6" s="6" t="s">
        <v>34</v>
      </c>
      <c r="G6" s="5">
        <v>19.28</v>
      </c>
      <c r="H6" s="5">
        <v>17.11</v>
      </c>
      <c r="I6" s="5">
        <v>1.42</v>
      </c>
      <c r="J6" s="5">
        <v>0.32</v>
      </c>
      <c r="K6" s="5">
        <v>0.12</v>
      </c>
      <c r="L6" s="5">
        <v>0.46</v>
      </c>
      <c r="M6" s="6">
        <v>3.96</v>
      </c>
    </row>
    <row r="7" spans="1:13">
      <c r="A7" s="5">
        <v>5</v>
      </c>
      <c r="B7" s="5" t="s">
        <v>11</v>
      </c>
      <c r="C7" s="6" t="s">
        <v>35</v>
      </c>
      <c r="D7" s="6" t="s">
        <v>36</v>
      </c>
      <c r="F7" s="6" t="s">
        <v>37</v>
      </c>
      <c r="G7" s="5">
        <v>4.5</v>
      </c>
      <c r="H7" s="5">
        <v>8.3</v>
      </c>
      <c r="I7" s="5">
        <v>1.28</v>
      </c>
      <c r="J7" s="5">
        <v>0.28</v>
      </c>
      <c r="K7" s="5">
        <v>0.08</v>
      </c>
      <c r="L7" s="5">
        <v>0.52</v>
      </c>
      <c r="M7" s="5">
        <v>8.59</v>
      </c>
    </row>
    <row r="8" spans="1:13">
      <c r="A8" s="5">
        <v>6</v>
      </c>
      <c r="B8" s="5" t="s">
        <v>12</v>
      </c>
      <c r="C8" s="6" t="s">
        <v>35</v>
      </c>
      <c r="D8" s="6" t="s">
        <v>36</v>
      </c>
      <c r="F8" s="6" t="s">
        <v>38</v>
      </c>
      <c r="G8" s="5">
        <v>41</v>
      </c>
      <c r="H8" s="5">
        <v>20.69</v>
      </c>
      <c r="I8" s="5">
        <v>1.49</v>
      </c>
      <c r="J8" s="6">
        <v>0.29</v>
      </c>
      <c r="K8" s="5">
        <v>0.14</v>
      </c>
      <c r="L8" s="5">
        <v>0.43</v>
      </c>
      <c r="M8" s="5">
        <v>1.97</v>
      </c>
    </row>
    <row r="9" spans="1:13">
      <c r="A9" s="5">
        <v>7</v>
      </c>
      <c r="B9" s="5" t="s">
        <v>13</v>
      </c>
      <c r="C9" s="5"/>
      <c r="D9" s="5"/>
      <c r="F9" s="6" t="s">
        <v>39</v>
      </c>
      <c r="G9" s="5">
        <v>60.97</v>
      </c>
      <c r="H9" s="5">
        <v>26.33</v>
      </c>
      <c r="I9" s="5">
        <v>1.6</v>
      </c>
      <c r="J9" s="6">
        <v>0.27</v>
      </c>
      <c r="K9" s="5">
        <v>0.17</v>
      </c>
      <c r="L9" s="5">
        <v>0.39</v>
      </c>
      <c r="M9" s="5">
        <v>2.4</v>
      </c>
    </row>
    <row r="10" spans="1:13">
      <c r="A10" s="5">
        <v>8</v>
      </c>
      <c r="B10" s="5" t="s">
        <v>14</v>
      </c>
      <c r="C10" s="6" t="s">
        <v>35</v>
      </c>
      <c r="D10" s="6" t="s">
        <v>40</v>
      </c>
      <c r="F10" s="6" t="s">
        <v>41</v>
      </c>
      <c r="G10" s="5">
        <v>9.04</v>
      </c>
      <c r="H10" s="5">
        <v>33.05</v>
      </c>
      <c r="I10" s="5">
        <v>1.38</v>
      </c>
      <c r="J10" s="5">
        <v>0.36</v>
      </c>
      <c r="K10" s="5">
        <v>0.21</v>
      </c>
      <c r="L10" s="5">
        <v>0.48</v>
      </c>
      <c r="M10" s="5">
        <v>4.57</v>
      </c>
    </row>
    <row r="11" spans="1:13">
      <c r="A11" s="5">
        <v>9</v>
      </c>
      <c r="B11" s="5" t="s">
        <v>15</v>
      </c>
      <c r="C11" s="6" t="s">
        <v>35</v>
      </c>
      <c r="D11" s="6" t="s">
        <v>40</v>
      </c>
      <c r="F11" s="6" t="s">
        <v>42</v>
      </c>
      <c r="G11" s="5">
        <v>30.08</v>
      </c>
      <c r="H11" s="5">
        <v>33.46</v>
      </c>
      <c r="I11" s="5">
        <v>1.43</v>
      </c>
      <c r="J11" s="5">
        <v>0.34</v>
      </c>
      <c r="K11" s="5">
        <v>0.21</v>
      </c>
      <c r="L11" s="5">
        <v>0.46</v>
      </c>
      <c r="M11" s="5">
        <v>1.77</v>
      </c>
    </row>
    <row r="12" spans="1:13">
      <c r="A12" s="5">
        <v>10</v>
      </c>
      <c r="B12" s="5" t="s">
        <v>16</v>
      </c>
      <c r="C12" s="6" t="s">
        <v>43</v>
      </c>
      <c r="D12" s="6" t="s">
        <v>44</v>
      </c>
      <c r="F12" s="6" t="s">
        <v>45</v>
      </c>
      <c r="G12" s="6">
        <v>50.32</v>
      </c>
      <c r="H12" s="5">
        <v>39.3</v>
      </c>
      <c r="I12" s="5">
        <v>1.57</v>
      </c>
      <c r="J12" s="5">
        <v>0.31</v>
      </c>
      <c r="K12" s="5">
        <v>0.23</v>
      </c>
      <c r="L12" s="5">
        <v>0.41</v>
      </c>
      <c r="M12" s="5">
        <v>1.19</v>
      </c>
    </row>
    <row r="13" spans="1:13">
      <c r="A13" s="5">
        <v>11</v>
      </c>
      <c r="B13" s="5" t="s">
        <v>17</v>
      </c>
      <c r="C13" s="6" t="s">
        <v>46</v>
      </c>
      <c r="D13" s="6" t="s">
        <v>40</v>
      </c>
      <c r="F13" s="6" t="s">
        <v>47</v>
      </c>
      <c r="G13" s="5">
        <v>8.18</v>
      </c>
      <c r="H13" s="5">
        <v>44.58</v>
      </c>
      <c r="I13" s="5">
        <v>1.35</v>
      </c>
      <c r="J13" s="5">
        <v>0.37</v>
      </c>
      <c r="K13" s="5">
        <v>0.25</v>
      </c>
      <c r="L13" s="5">
        <v>0.49</v>
      </c>
      <c r="M13" s="5">
        <v>2.95</v>
      </c>
    </row>
    <row r="14" spans="1:13">
      <c r="A14" s="5">
        <v>12</v>
      </c>
      <c r="B14" s="5" t="s">
        <v>18</v>
      </c>
      <c r="C14" s="6" t="s">
        <v>48</v>
      </c>
      <c r="D14" s="6" t="s">
        <v>49</v>
      </c>
      <c r="F14" s="6" t="s">
        <v>50</v>
      </c>
      <c r="G14" s="5">
        <v>24.71</v>
      </c>
      <c r="H14" s="5">
        <v>52.46</v>
      </c>
      <c r="I14" s="5">
        <v>1.39</v>
      </c>
      <c r="J14" s="5">
        <v>0.36</v>
      </c>
      <c r="K14" s="5">
        <v>0.27</v>
      </c>
      <c r="L14" s="5">
        <v>0.47</v>
      </c>
      <c r="M14" s="5">
        <v>3.18</v>
      </c>
    </row>
  </sheetData>
  <mergeCells count="11">
    <mergeCell ref="C1:E1"/>
    <mergeCell ref="A1:A2"/>
    <mergeCell ref="B1:B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A1" sqref="A1:J14"/>
    </sheetView>
  </sheetViews>
  <sheetFormatPr defaultColWidth="9" defaultRowHeight="13.5"/>
  <sheetData>
    <row r="1" ht="14.25" spans="1:10">
      <c r="A1" s="1" t="s">
        <v>51</v>
      </c>
      <c r="B1" s="1" t="s">
        <v>52</v>
      </c>
      <c r="C1" s="1" t="s">
        <v>21</v>
      </c>
      <c r="D1" s="1" t="s">
        <v>22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 ht="14.25" spans="1:10">
      <c r="A2" s="2"/>
      <c r="B2" s="2"/>
      <c r="C2" s="2"/>
      <c r="D2" s="2"/>
      <c r="E2" s="3" t="s">
        <v>59</v>
      </c>
      <c r="F2" s="3" t="s">
        <v>60</v>
      </c>
      <c r="G2" s="3" t="s">
        <v>60</v>
      </c>
      <c r="H2" s="3" t="s">
        <v>26</v>
      </c>
      <c r="I2" s="3" t="s">
        <v>61</v>
      </c>
      <c r="J2" s="2"/>
    </row>
    <row r="3" spans="1:10">
      <c r="A3" s="4" t="s">
        <v>31</v>
      </c>
      <c r="B3" s="4" t="s">
        <v>7</v>
      </c>
      <c r="C3" s="4">
        <v>94.83</v>
      </c>
      <c r="D3" s="4">
        <v>2.27</v>
      </c>
      <c r="E3" s="4">
        <v>1.49</v>
      </c>
      <c r="F3" s="4">
        <v>0.08</v>
      </c>
      <c r="G3" s="4">
        <v>0.03</v>
      </c>
      <c r="H3" s="4">
        <v>0.43</v>
      </c>
      <c r="I3" s="4">
        <v>38.41</v>
      </c>
      <c r="J3" s="4">
        <v>4.1</v>
      </c>
    </row>
    <row r="4" spans="1:10">
      <c r="A4" s="4" t="s">
        <v>32</v>
      </c>
      <c r="B4" s="4" t="s">
        <v>8</v>
      </c>
      <c r="C4" s="4">
        <v>85.23</v>
      </c>
      <c r="D4" s="4">
        <v>6.53</v>
      </c>
      <c r="E4" s="4">
        <v>1.52</v>
      </c>
      <c r="F4" s="4">
        <v>0.15</v>
      </c>
      <c r="G4" s="4">
        <v>0.06</v>
      </c>
      <c r="H4" s="4">
        <v>0.42</v>
      </c>
      <c r="I4" s="4">
        <v>10.87</v>
      </c>
      <c r="J4" s="4">
        <v>3.99</v>
      </c>
    </row>
    <row r="5" spans="1:10">
      <c r="A5" s="4" t="s">
        <v>33</v>
      </c>
      <c r="B5" s="4" t="s">
        <v>10</v>
      </c>
      <c r="C5" s="4">
        <v>69.28</v>
      </c>
      <c r="D5" s="4">
        <v>12.48</v>
      </c>
      <c r="E5" s="4">
        <v>1.57</v>
      </c>
      <c r="F5" s="4">
        <v>0.21</v>
      </c>
      <c r="G5" s="4">
        <v>0.09</v>
      </c>
      <c r="H5" s="4">
        <v>0.4</v>
      </c>
      <c r="I5" s="4">
        <v>5.24</v>
      </c>
      <c r="J5" s="4">
        <v>4.84</v>
      </c>
    </row>
    <row r="6" spans="1:10">
      <c r="A6" s="4" t="s">
        <v>34</v>
      </c>
      <c r="B6" s="4" t="s">
        <v>62</v>
      </c>
      <c r="C6" s="4">
        <v>19.28</v>
      </c>
      <c r="D6" s="4">
        <v>17.11</v>
      </c>
      <c r="E6" s="4">
        <v>1.42</v>
      </c>
      <c r="F6" s="4">
        <v>0.32</v>
      </c>
      <c r="G6" s="4">
        <v>0.12</v>
      </c>
      <c r="H6" s="4">
        <v>0.46</v>
      </c>
      <c r="I6" s="4">
        <v>3.96</v>
      </c>
      <c r="J6" s="4">
        <v>3.79</v>
      </c>
    </row>
    <row r="7" spans="1:10">
      <c r="A7" s="4" t="s">
        <v>37</v>
      </c>
      <c r="B7" s="4" t="s">
        <v>9</v>
      </c>
      <c r="C7" s="4">
        <v>4.5</v>
      </c>
      <c r="D7" s="4">
        <v>8.3</v>
      </c>
      <c r="E7" s="4">
        <v>1.28</v>
      </c>
      <c r="F7" s="4">
        <v>0.28</v>
      </c>
      <c r="G7" s="4">
        <v>0.08</v>
      </c>
      <c r="H7" s="4">
        <v>0.52</v>
      </c>
      <c r="I7" s="4">
        <v>8.59</v>
      </c>
      <c r="J7" s="4">
        <v>3.05</v>
      </c>
    </row>
    <row r="8" spans="1:10">
      <c r="A8" s="4" t="s">
        <v>38</v>
      </c>
      <c r="B8" s="4" t="s">
        <v>11</v>
      </c>
      <c r="C8" s="4">
        <v>41</v>
      </c>
      <c r="D8" s="4">
        <v>20.69</v>
      </c>
      <c r="E8" s="4">
        <v>1.49</v>
      </c>
      <c r="F8" s="4">
        <v>0.29</v>
      </c>
      <c r="G8" s="4">
        <v>0.14</v>
      </c>
      <c r="H8" s="4">
        <v>0.43</v>
      </c>
      <c r="I8" s="4">
        <v>1.97</v>
      </c>
      <c r="J8" s="4">
        <v>5.3</v>
      </c>
    </row>
    <row r="9" spans="1:10">
      <c r="A9" s="4" t="s">
        <v>39</v>
      </c>
      <c r="B9" s="4" t="s">
        <v>13</v>
      </c>
      <c r="C9" s="4">
        <v>60.97</v>
      </c>
      <c r="D9" s="4">
        <v>26.33</v>
      </c>
      <c r="E9" s="4">
        <v>1.6</v>
      </c>
      <c r="F9" s="4">
        <v>0.27</v>
      </c>
      <c r="G9" s="4">
        <v>0.17</v>
      </c>
      <c r="H9" s="4">
        <v>0.39</v>
      </c>
      <c r="I9" s="4">
        <v>2.4</v>
      </c>
      <c r="J9" s="4">
        <v>8.66</v>
      </c>
    </row>
    <row r="10" spans="1:10">
      <c r="A10" s="4" t="s">
        <v>41</v>
      </c>
      <c r="B10" s="4" t="s">
        <v>63</v>
      </c>
      <c r="C10" s="4">
        <v>9.04</v>
      </c>
      <c r="D10" s="4">
        <v>33.05</v>
      </c>
      <c r="E10" s="4">
        <v>1.38</v>
      </c>
      <c r="F10" s="4">
        <v>0.36</v>
      </c>
      <c r="G10" s="4">
        <v>0.21</v>
      </c>
      <c r="H10" s="4">
        <v>0.48</v>
      </c>
      <c r="I10" s="4">
        <v>4.57</v>
      </c>
      <c r="J10" s="4">
        <v>7.48</v>
      </c>
    </row>
    <row r="11" spans="1:10">
      <c r="A11" s="4" t="s">
        <v>42</v>
      </c>
      <c r="B11" s="4" t="s">
        <v>14</v>
      </c>
      <c r="C11" s="4">
        <v>30.08</v>
      </c>
      <c r="D11" s="4">
        <v>33.46</v>
      </c>
      <c r="E11" s="4">
        <v>1.43</v>
      </c>
      <c r="F11" s="4">
        <v>0.34</v>
      </c>
      <c r="G11" s="4">
        <v>0.21</v>
      </c>
      <c r="H11" s="4">
        <v>0.46</v>
      </c>
      <c r="I11" s="4">
        <v>1.77</v>
      </c>
      <c r="J11" s="4">
        <v>8.02</v>
      </c>
    </row>
    <row r="12" spans="1:10">
      <c r="A12" s="4" t="s">
        <v>45</v>
      </c>
      <c r="B12" s="4" t="s">
        <v>16</v>
      </c>
      <c r="C12" s="4">
        <v>50.32</v>
      </c>
      <c r="D12" s="4">
        <v>39.3</v>
      </c>
      <c r="E12" s="4">
        <v>1.57</v>
      </c>
      <c r="F12" s="4">
        <v>0.31</v>
      </c>
      <c r="G12" s="4">
        <v>0.23</v>
      </c>
      <c r="H12" s="4">
        <v>0.41</v>
      </c>
      <c r="I12" s="4">
        <v>1.19</v>
      </c>
      <c r="J12" s="4">
        <v>13</v>
      </c>
    </row>
    <row r="13" spans="1:10">
      <c r="A13" s="4" t="s">
        <v>47</v>
      </c>
      <c r="B13" s="4" t="s">
        <v>64</v>
      </c>
      <c r="C13" s="4">
        <v>8.18</v>
      </c>
      <c r="D13" s="4">
        <v>44.58</v>
      </c>
      <c r="E13" s="4">
        <v>1.35</v>
      </c>
      <c r="F13" s="4">
        <v>0.37</v>
      </c>
      <c r="G13" s="4">
        <v>0.25</v>
      </c>
      <c r="H13" s="4">
        <v>0.49</v>
      </c>
      <c r="I13" s="4">
        <v>2.95</v>
      </c>
      <c r="J13" s="4">
        <v>9.76</v>
      </c>
    </row>
    <row r="14" spans="1:10">
      <c r="A14" s="4" t="s">
        <v>50</v>
      </c>
      <c r="B14" s="4" t="s">
        <v>18</v>
      </c>
      <c r="C14" s="4">
        <v>24.71</v>
      </c>
      <c r="D14" s="4">
        <v>52.46</v>
      </c>
      <c r="E14" s="4">
        <v>1.39</v>
      </c>
      <c r="F14" s="4">
        <v>0.36</v>
      </c>
      <c r="G14" s="4">
        <v>0.27</v>
      </c>
      <c r="H14" s="4">
        <v>0.47</v>
      </c>
      <c r="I14" s="4">
        <v>3.18</v>
      </c>
      <c r="J14" s="4">
        <v>12.28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熊耀鹏</dc:creator>
  <cp:lastModifiedBy>薛小白</cp:lastModifiedBy>
  <dcterms:created xsi:type="dcterms:W3CDTF">2023-05-12T11:15:00Z</dcterms:created>
  <dcterms:modified xsi:type="dcterms:W3CDTF">2025-10-02T13:45:10Z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430EB2BE91BE4ECC8691D1B801DF1E80_13</vt:lpwstr>
  </property>
  <property fmtid="{D5CDD505-2E9C-101B-9397-08002B2CF9AE}" pid="3" name="KSOProductBuildVer">
    <vt:lpwstr>2052-12.1.0.22529</vt:lpwstr>
  </property>
</Properties>
</file>